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defaultThemeVersion="164011"/>
  <bookViews>
    <workbookView xWindow="0" yWindow="0" windowWidth="22260" windowHeight="12300"/>
  </bookViews>
  <sheets>
    <sheet name="Dashboard" sheetId="1" r:id="rId1"/>
    <sheet name="DropdownValues" sheetId="4" state="hidden" r:id="rId2"/>
    <sheet name="Template" sheetId="23" r:id="rId3"/>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35" i="23" l="1"/>
  <c r="G35" i="23" s="1"/>
  <c r="D21" i="23"/>
  <c r="F40" i="23"/>
  <c r="G40" i="23" s="1"/>
  <c r="F39" i="23"/>
  <c r="G39" i="23" s="1"/>
  <c r="F38" i="23"/>
  <c r="G38" i="23" s="1"/>
  <c r="F37" i="23"/>
  <c r="G37" i="23" s="1"/>
  <c r="F36" i="23"/>
  <c r="G36" i="23" s="1"/>
  <c r="F34" i="23"/>
  <c r="G34" i="23" s="1"/>
  <c r="F33" i="23"/>
  <c r="G33" i="23" s="1"/>
  <c r="F32" i="23"/>
  <c r="G32" i="23" s="1"/>
  <c r="N35" i="23" l="1"/>
  <c r="O35" i="23" s="1"/>
  <c r="N34" i="23"/>
  <c r="O34" i="23" s="1"/>
  <c r="N33" i="23"/>
  <c r="O33" i="23" s="1"/>
  <c r="N32" i="23"/>
  <c r="O32" i="23" s="1"/>
  <c r="M31" i="23"/>
  <c r="K25" i="23" s="1"/>
  <c r="E31" i="23"/>
  <c r="C25" i="23" s="1"/>
  <c r="O31" i="23" l="1"/>
  <c r="N31" i="23"/>
  <c r="K26" i="23" s="1"/>
  <c r="F31" i="23"/>
  <c r="C26" i="23" s="1"/>
  <c r="G31" i="23"/>
  <c r="E21" i="23" l="1"/>
  <c r="D18" i="23" s="1"/>
  <c r="K9" i="23" l="1"/>
  <c r="K15" i="23"/>
</calcChain>
</file>

<file path=xl/comments1.xml><?xml version="1.0" encoding="utf-8"?>
<comments xmlns="http://schemas.openxmlformats.org/spreadsheetml/2006/main">
  <authors>
    <author>Author</author>
  </authors>
  <commentList>
    <comment ref="D56" authorId="0" shapeId="0">
      <text>
        <r>
          <rPr>
            <b/>
            <sz val="9"/>
            <color indexed="81"/>
            <rFont val="Tahoma"/>
            <family val="2"/>
          </rPr>
          <t>Author:</t>
        </r>
        <r>
          <rPr>
            <sz val="9"/>
            <color indexed="81"/>
            <rFont val="Tahoma"/>
            <family val="2"/>
          </rPr>
          <t xml:space="preserve">
This should always be a negative value</t>
        </r>
      </text>
    </comment>
    <comment ref="E56" authorId="0" shapeId="0">
      <text>
        <r>
          <rPr>
            <b/>
            <sz val="9"/>
            <color indexed="81"/>
            <rFont val="Tahoma"/>
            <family val="2"/>
          </rPr>
          <t>Author:</t>
        </r>
        <r>
          <rPr>
            <sz val="9"/>
            <color indexed="81"/>
            <rFont val="Tahoma"/>
            <family val="2"/>
          </rPr>
          <t xml:space="preserve">
Every input must be categorised</t>
        </r>
      </text>
    </comment>
  </commentList>
</comments>
</file>

<file path=xl/sharedStrings.xml><?xml version="1.0" encoding="utf-8"?>
<sst xmlns="http://schemas.openxmlformats.org/spreadsheetml/2006/main" count="80" uniqueCount="48">
  <si>
    <t>Budżet miesięczny</t>
  </si>
  <si>
    <t>Saldo początkowe:</t>
  </si>
  <si>
    <t>Wydatki</t>
  </si>
  <si>
    <t>Przychody</t>
  </si>
  <si>
    <t>Planowane</t>
  </si>
  <si>
    <t>Rzeczywiste</t>
  </si>
  <si>
    <t>Suma</t>
  </si>
  <si>
    <t>Różnica</t>
  </si>
  <si>
    <t>Jedzenie</t>
  </si>
  <si>
    <t>Dom</t>
  </si>
  <si>
    <t>Transport</t>
  </si>
  <si>
    <t>Osobiste</t>
  </si>
  <si>
    <t>Media</t>
  </si>
  <si>
    <t>Podróże</t>
  </si>
  <si>
    <t>Studia</t>
  </si>
  <si>
    <t>Hobby</t>
  </si>
  <si>
    <t>Inne</t>
  </si>
  <si>
    <t>Oszczędności</t>
  </si>
  <si>
    <t>Pensja</t>
  </si>
  <si>
    <t>Premia</t>
  </si>
  <si>
    <t>Transakcje</t>
  </si>
  <si>
    <t>Data</t>
  </si>
  <si>
    <t>Kwota</t>
  </si>
  <si>
    <t>Opis</t>
  </si>
  <si>
    <t>Kategoria</t>
  </si>
  <si>
    <t>SALDO POCZĄTKOWE</t>
  </si>
  <si>
    <t>SALDO KOŃCOWE</t>
  </si>
  <si>
    <t>Zwiększenie oszczędności</t>
  </si>
  <si>
    <t>Zaoszczędzone w tym miesiącu</t>
  </si>
  <si>
    <t>VBA - error handling</t>
  </si>
  <si>
    <t>To do:</t>
  </si>
  <si>
    <t>Dashboard</t>
  </si>
  <si>
    <t>VBA - code polishing</t>
  </si>
  <si>
    <t>Improving the look</t>
  </si>
  <si>
    <t>Done:</t>
  </si>
  <si>
    <t>Template</t>
  </si>
  <si>
    <t>Adding new month</t>
  </si>
  <si>
    <t>Converting data from CSV</t>
  </si>
  <si>
    <t>Importing CSV</t>
  </si>
  <si>
    <t>Populating the month's sheet with transactions (negative to "Transakcje" - "Wydatki", positive to "Transakcje" - "Przychody")</t>
  </si>
  <si>
    <t>Basic chart for the overall outcome of the respective month</t>
  </si>
  <si>
    <t>ABOUT</t>
  </si>
  <si>
    <t>Status:</t>
  </si>
  <si>
    <t>IN PROGRESS</t>
  </si>
  <si>
    <t>Adjusting titles of transactions so they display polish letters</t>
  </si>
  <si>
    <t>Click the below button to begin:</t>
  </si>
  <si>
    <t>Please note that this dashboard works only with the .csv files exported only from Santader</t>
  </si>
  <si>
    <t xml:space="preserve">This worksheet is based on the Google's Monthly Budget available on Google Sheets. The idea to recreate it, was to tailored it as per my personal needs (having everything in one place, possibility to import the CSV file exported from my bank account and to have a dashboard which will show the trends of my categorised expenses) and to improve myself in VBA.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</si>
</sst>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44" formatCode="_-* #,##0.00\ &quot;€&quot;_-;\-* #,##0.00\ &quot;€&quot;_-;_-* &quot;-&quot;??\ &quot;€&quot;_-;_-@_-"/>
    <numFmt numFmtId="164" formatCode="_-* #,##0.00\ [$PLN]_-;\-* #,##0.00\ [$PLN]_-;_-* &quot;-&quot;??\ [$PLN]_-;_-@_-"/>
    <numFmt numFmtId="165" formatCode="#,##0.00\ [$PLN]"/>
  </numFmts>
  <fonts count="33" x14ac:knownFonts="1">
    <font>
      <sz val="11"/>
      <color theme="1"/>
      <name val="Calibri"/>
      <family val="2"/>
      <scheme val="minor"/>
    </font>
    <font>
      <sz val="11"/>
      <color theme="1"/>
      <name val="Calibri"/>
      <family val="2"/>
      <charset val="1"/>
      <scheme val="minor"/>
    </font>
    <font>
      <sz val="11"/>
      <color theme="1"/>
      <name val="Calibri"/>
      <family val="2"/>
      <charset val="1"/>
      <scheme val="minor"/>
    </font>
    <font>
      <sz val="11"/>
      <color theme="1"/>
      <name val="Calibri"/>
      <family val="2"/>
      <charset val="1"/>
      <scheme val="minor"/>
    </font>
    <font>
      <sz val="11"/>
      <color theme="1"/>
      <name val="Calibri"/>
      <family val="2"/>
      <charset val="1"/>
      <scheme val="minor"/>
    </font>
    <font>
      <sz val="11"/>
      <color theme="1"/>
      <name val="Calibri"/>
      <family val="2"/>
      <charset val="1"/>
      <scheme val="minor"/>
    </font>
    <font>
      <b/>
      <sz val="36"/>
      <color rgb="FFEC7320"/>
      <name val="Roboto Condensed"/>
    </font>
    <font>
      <b/>
      <sz val="26"/>
      <color rgb="FFEC7320"/>
      <name val="Roboto Condensed"/>
    </font>
    <font>
      <sz val="18"/>
      <name val="Roboto Condensed"/>
    </font>
    <font>
      <sz val="18"/>
      <name val="Calibri"/>
      <family val="2"/>
      <scheme val="minor"/>
    </font>
    <font>
      <b/>
      <sz val="11"/>
      <color theme="1"/>
      <name val="Arial"/>
      <family val="2"/>
    </font>
    <font>
      <sz val="11"/>
      <color theme="1"/>
      <name val="Arial"/>
      <family val="2"/>
    </font>
    <font>
      <b/>
      <sz val="14"/>
      <color theme="1"/>
      <name val="Arial"/>
      <family val="2"/>
    </font>
    <font>
      <i/>
      <sz val="14"/>
      <color theme="0" tint="-0.499984740745262"/>
      <name val="Arial"/>
      <family val="2"/>
    </font>
    <font>
      <b/>
      <u/>
      <sz val="11"/>
      <color theme="1"/>
      <name val="Calibri"/>
      <family val="2"/>
      <scheme val="minor"/>
    </font>
    <font>
      <sz val="11"/>
      <color rgb="FF000000"/>
      <name val="Calibri"/>
      <family val="2"/>
    </font>
    <font>
      <sz val="11"/>
      <color theme="1"/>
      <name val="Calibri"/>
      <family val="2"/>
      <scheme val="minor"/>
    </font>
    <font>
      <i/>
      <sz val="11"/>
      <color theme="2" tint="-0.499984740745262"/>
      <name val="Arial"/>
      <family val="2"/>
    </font>
    <font>
      <sz val="11"/>
      <color theme="2" tint="-0.499984740745262"/>
      <name val="Arial"/>
      <family val="2"/>
    </font>
    <font>
      <b/>
      <sz val="11"/>
      <color theme="1"/>
      <name val="Calibri"/>
      <family val="2"/>
      <scheme val="minor"/>
    </font>
    <font>
      <b/>
      <sz val="14"/>
      <color theme="4" tint="-0.499984740745262"/>
      <name val="Roboto Condensed"/>
    </font>
    <font>
      <b/>
      <sz val="14"/>
      <color rgb="FFEC7320"/>
      <name val="Roboto Condensed"/>
    </font>
    <font>
      <i/>
      <sz val="11"/>
      <color theme="0" tint="-0.34998626667073579"/>
      <name val="Arial"/>
      <family val="2"/>
    </font>
    <font>
      <i/>
      <sz val="11"/>
      <color rgb="FFEC7320"/>
      <name val="Arial"/>
      <family val="2"/>
    </font>
    <font>
      <i/>
      <sz val="11"/>
      <color theme="1"/>
      <name val="Roboto Condensed"/>
    </font>
    <font>
      <sz val="36"/>
      <color theme="1"/>
      <name val="Calibri"/>
      <family val="2"/>
      <scheme val="minor"/>
    </font>
    <font>
      <sz val="11"/>
      <color theme="2" tint="-0.499984740745262"/>
      <name val="Calibri"/>
      <family val="2"/>
      <scheme val="minor"/>
    </font>
    <font>
      <b/>
      <sz val="22"/>
      <color theme="1"/>
      <name val="Calibri"/>
      <family val="2"/>
      <scheme val="minor"/>
    </font>
    <font>
      <b/>
      <sz val="11"/>
      <color rgb="FFFFC000"/>
      <name val="Calibri"/>
      <family val="2"/>
      <scheme val="minor"/>
    </font>
    <font>
      <sz val="9"/>
      <color indexed="81"/>
      <name val="Tahoma"/>
      <family val="2"/>
    </font>
    <font>
      <b/>
      <sz val="9"/>
      <color indexed="81"/>
      <name val="Tahoma"/>
      <family val="2"/>
    </font>
    <font>
      <b/>
      <sz val="11"/>
      <color theme="5"/>
      <name val="Roboto Condensed"/>
    </font>
    <font>
      <b/>
      <sz val="11"/>
      <color rgb="FFFF0000"/>
      <name val="Calibri"/>
      <family val="2"/>
      <scheme val="minor"/>
    </font>
  </fonts>
  <fills count="4">
    <fill>
      <patternFill patternType="none"/>
    </fill>
    <fill>
      <patternFill patternType="gray125"/>
    </fill>
    <fill>
      <patternFill patternType="solid">
        <fgColor theme="7" tint="0.79998168889431442"/>
        <bgColor indexed="64"/>
      </patternFill>
    </fill>
    <fill>
      <patternFill patternType="solid">
        <fgColor theme="2"/>
        <bgColor indexed="64"/>
      </patternFill>
    </fill>
  </fills>
  <borders count="12">
    <border>
      <left/>
      <right/>
      <top/>
      <bottom/>
      <diagonal/>
    </border>
    <border>
      <left/>
      <right/>
      <top/>
      <bottom style="thin">
        <color indexed="64"/>
      </bottom>
      <diagonal/>
    </border>
    <border>
      <left/>
      <right/>
      <top style="thin">
        <color indexed="64"/>
      </top>
      <bottom style="thin">
        <color theme="0"/>
      </bottom>
      <diagonal/>
    </border>
    <border>
      <left/>
      <right/>
      <top style="thin">
        <color theme="0"/>
      </top>
      <bottom/>
      <diagonal/>
    </border>
    <border>
      <left/>
      <right/>
      <top style="thin">
        <color theme="0"/>
      </top>
      <bottom style="thin">
        <color theme="0"/>
      </bottom>
      <diagonal/>
    </border>
    <border>
      <left/>
      <right style="thin">
        <color theme="0"/>
      </right>
      <top style="thin">
        <color indexed="64"/>
      </top>
      <bottom style="thin">
        <color theme="0"/>
      </bottom>
      <diagonal/>
    </border>
    <border>
      <left/>
      <right style="thin">
        <color theme="0"/>
      </right>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bottom/>
      <diagonal/>
    </border>
    <border>
      <left/>
      <right/>
      <top/>
      <bottom style="dashed">
        <color theme="0" tint="-0.499984740745262"/>
      </bottom>
      <diagonal/>
    </border>
    <border>
      <left/>
      <right style="dashed">
        <color theme="0" tint="-0.499984740745262"/>
      </right>
      <top/>
      <bottom/>
      <diagonal/>
    </border>
  </borders>
  <cellStyleXfs count="8">
    <xf numFmtId="0" fontId="0" fillId="0" borderId="0"/>
    <xf numFmtId="0" fontId="5" fillId="0" borderId="0"/>
    <xf numFmtId="0" fontId="4" fillId="0" borderId="0"/>
    <xf numFmtId="0" fontId="3" fillId="0" borderId="0"/>
    <xf numFmtId="0" fontId="2" fillId="0" borderId="0"/>
    <xf numFmtId="44" fontId="16" fillId="0" borderId="0" applyFont="0" applyFill="0" applyBorder="0" applyAlignment="0" applyProtection="0"/>
    <xf numFmtId="9" fontId="16" fillId="0" borderId="0" applyFont="0" applyFill="0" applyBorder="0" applyAlignment="0" applyProtection="0"/>
    <xf numFmtId="0" fontId="1" fillId="0" borderId="0"/>
  </cellStyleXfs>
  <cellXfs count="56">
    <xf numFmtId="0" fontId="0" fillId="0" borderId="0" xfId="0"/>
    <xf numFmtId="0" fontId="6" fillId="0" borderId="0" xfId="0" applyFont="1"/>
    <xf numFmtId="0" fontId="9" fillId="0" borderId="0" xfId="0" applyFont="1"/>
    <xf numFmtId="0" fontId="8" fillId="0" borderId="0" xfId="0" applyFont="1"/>
    <xf numFmtId="0" fontId="7" fillId="0" borderId="1" xfId="0" applyFont="1" applyBorder="1"/>
    <xf numFmtId="0" fontId="0" fillId="0" borderId="1" xfId="0" applyBorder="1"/>
    <xf numFmtId="0" fontId="11" fillId="0" borderId="0" xfId="0" applyFont="1"/>
    <xf numFmtId="0" fontId="11" fillId="0" borderId="1" xfId="0" applyFont="1" applyBorder="1"/>
    <xf numFmtId="0" fontId="13" fillId="0" borderId="1" xfId="0" applyFont="1" applyBorder="1"/>
    <xf numFmtId="0" fontId="0" fillId="2" borderId="0" xfId="0" applyFill="1"/>
    <xf numFmtId="0" fontId="12" fillId="0" borderId="0" xfId="0" applyFont="1" applyAlignment="1">
      <alignment horizontal="center"/>
    </xf>
    <xf numFmtId="0" fontId="12" fillId="0" borderId="0" xfId="0" applyFont="1" applyAlignment="1">
      <alignment horizontal="left"/>
    </xf>
    <xf numFmtId="0" fontId="0" fillId="0" borderId="0" xfId="0" applyAlignment="1">
      <alignment horizontal="left"/>
    </xf>
    <xf numFmtId="0" fontId="14" fillId="0" borderId="0" xfId="0" applyFont="1"/>
    <xf numFmtId="14" fontId="1" fillId="0" borderId="0" xfId="7" applyNumberFormat="1" applyAlignment="1">
      <alignment horizontal="left"/>
    </xf>
    <xf numFmtId="0" fontId="1" fillId="0" borderId="0" xfId="7" applyAlignment="1">
      <alignment horizontal="left"/>
    </xf>
    <xf numFmtId="0" fontId="0" fillId="3" borderId="0" xfId="0" applyFill="1"/>
    <xf numFmtId="0" fontId="0" fillId="2" borderId="2" xfId="0" applyFill="1" applyBorder="1"/>
    <xf numFmtId="0" fontId="0" fillId="2" borderId="4" xfId="0" applyFill="1" applyBorder="1"/>
    <xf numFmtId="0" fontId="0" fillId="2" borderId="3" xfId="0" applyFill="1" applyBorder="1"/>
    <xf numFmtId="0" fontId="0" fillId="2" borderId="7" xfId="0" applyFill="1" applyBorder="1"/>
    <xf numFmtId="0" fontId="0" fillId="2" borderId="5" xfId="0" applyFill="1" applyBorder="1"/>
    <xf numFmtId="0" fontId="0" fillId="2" borderId="6" xfId="0" applyFill="1" applyBorder="1"/>
    <xf numFmtId="164" fontId="0" fillId="2" borderId="8" xfId="5" applyNumberFormat="1" applyFont="1" applyFill="1" applyBorder="1"/>
    <xf numFmtId="164" fontId="0" fillId="0" borderId="0" xfId="5" applyNumberFormat="1" applyFont="1"/>
    <xf numFmtId="164" fontId="0" fillId="2" borderId="9" xfId="5" applyNumberFormat="1" applyFont="1" applyFill="1" applyBorder="1"/>
    <xf numFmtId="0" fontId="18" fillId="0" borderId="0" xfId="0" applyFont="1"/>
    <xf numFmtId="0" fontId="19" fillId="0" borderId="0" xfId="0" applyFont="1"/>
    <xf numFmtId="0" fontId="21" fillId="0" borderId="0" xfId="0" applyFont="1" applyAlignment="1">
      <alignment horizontal="center"/>
    </xf>
    <xf numFmtId="0" fontId="0" fillId="0" borderId="0" xfId="0" applyAlignment="1"/>
    <xf numFmtId="0" fontId="24" fillId="3" borderId="0" xfId="0" applyFont="1" applyFill="1" applyAlignment="1">
      <alignment horizontal="center"/>
    </xf>
    <xf numFmtId="0" fontId="0" fillId="3" borderId="10" xfId="0" applyFill="1" applyBorder="1"/>
    <xf numFmtId="0" fontId="20" fillId="0" borderId="11" xfId="0" applyFont="1" applyBorder="1" applyAlignment="1">
      <alignment horizontal="left"/>
    </xf>
    <xf numFmtId="165" fontId="22" fillId="0" borderId="11" xfId="0" applyNumberFormat="1" applyFont="1" applyBorder="1" applyAlignment="1">
      <alignment horizontal="center"/>
    </xf>
    <xf numFmtId="165" fontId="23" fillId="0" borderId="0" xfId="0" applyNumberFormat="1" applyFont="1" applyAlignment="1">
      <alignment horizontal="center"/>
    </xf>
    <xf numFmtId="165" fontId="18" fillId="0" borderId="0" xfId="0" applyNumberFormat="1" applyFont="1"/>
    <xf numFmtId="165" fontId="11" fillId="0" borderId="0" xfId="0" applyNumberFormat="1" applyFont="1"/>
    <xf numFmtId="165" fontId="17" fillId="0" borderId="1" xfId="0" applyNumberFormat="1" applyFont="1" applyBorder="1"/>
    <xf numFmtId="164" fontId="16" fillId="2" borderId="0" xfId="5" applyNumberFormat="1" applyFont="1" applyFill="1" applyAlignment="1"/>
    <xf numFmtId="165" fontId="26" fillId="0" borderId="0" xfId="5" applyNumberFormat="1" applyFont="1"/>
    <xf numFmtId="0" fontId="0" fillId="0" borderId="0" xfId="0" applyBorder="1" applyAlignment="1"/>
    <xf numFmtId="0" fontId="11" fillId="0" borderId="0" xfId="0" applyFont="1" applyAlignment="1"/>
    <xf numFmtId="9" fontId="0" fillId="0" borderId="0" xfId="0" applyNumberFormat="1" applyAlignment="1">
      <alignment horizontal="center"/>
    </xf>
    <xf numFmtId="0" fontId="27" fillId="0" borderId="0" xfId="0" applyFont="1"/>
    <xf numFmtId="0" fontId="28" fillId="0" borderId="0" xfId="0" applyFont="1"/>
    <xf numFmtId="0" fontId="31" fillId="0" borderId="0" xfId="0" applyFont="1" applyAlignment="1">
      <alignment horizontal="center"/>
    </xf>
    <xf numFmtId="0" fontId="32" fillId="0" borderId="0" xfId="0" applyFont="1"/>
    <xf numFmtId="0" fontId="0" fillId="0" borderId="0" xfId="0" applyAlignment="1">
      <alignment horizontal="left" vertical="top" wrapText="1"/>
    </xf>
    <xf numFmtId="0" fontId="10" fillId="2" borderId="3" xfId="0" applyFont="1" applyFill="1" applyBorder="1" applyAlignment="1">
      <alignment horizontal="left"/>
    </xf>
    <xf numFmtId="0" fontId="10" fillId="2" borderId="4" xfId="0" applyFont="1" applyFill="1" applyBorder="1" applyAlignment="1">
      <alignment horizontal="left"/>
    </xf>
    <xf numFmtId="165" fontId="25" fillId="3" borderId="0" xfId="0" applyNumberFormat="1" applyFont="1" applyFill="1" applyAlignment="1">
      <alignment horizontal="center"/>
    </xf>
    <xf numFmtId="10" fontId="25" fillId="3" borderId="0" xfId="6" applyNumberFormat="1" applyFont="1" applyFill="1" applyAlignment="1">
      <alignment horizontal="center"/>
    </xf>
    <xf numFmtId="0" fontId="8" fillId="0" borderId="0" xfId="0" applyFont="1" applyAlignment="1">
      <alignment horizontal="center"/>
    </xf>
    <xf numFmtId="0" fontId="10" fillId="2" borderId="2" xfId="0" applyFont="1" applyFill="1" applyBorder="1" applyAlignment="1">
      <alignment horizontal="left"/>
    </xf>
    <xf numFmtId="0" fontId="10" fillId="2" borderId="0" xfId="0" applyFont="1" applyFill="1" applyBorder="1" applyAlignment="1">
      <alignment horizontal="left"/>
    </xf>
    <xf numFmtId="0" fontId="10" fillId="2" borderId="0" xfId="0" applyFont="1" applyFill="1" applyAlignment="1">
      <alignment horizontal="left"/>
    </xf>
  </cellXfs>
  <cellStyles count="8">
    <cellStyle name="Currency" xfId="5" builtinId="4"/>
    <cellStyle name="Normal" xfId="0" builtinId="0"/>
    <cellStyle name="Normal 2" xfId="1"/>
    <cellStyle name="Normal 3" xfId="2"/>
    <cellStyle name="Normal 4" xfId="3"/>
    <cellStyle name="Normal 5" xfId="4"/>
    <cellStyle name="Normal 6" xfId="7"/>
    <cellStyle name="Percent" xfId="6" builtinId="5"/>
  </cellStyles>
  <dxfs count="8">
    <dxf>
      <font>
        <color theme="9" tint="-0.24994659260841701"/>
      </font>
    </dxf>
    <dxf>
      <font>
        <color rgb="FF9C0006"/>
      </font>
    </dxf>
    <dxf>
      <font>
        <color rgb="FF9C0006"/>
      </font>
    </dxf>
    <dxf>
      <font>
        <color theme="9" tint="-0.24994659260841701"/>
      </font>
    </dxf>
    <dxf>
      <font>
        <color theme="9" tint="-0.24994659260841701"/>
      </font>
    </dxf>
    <dxf>
      <font>
        <color rgb="FF9C0006"/>
      </font>
    </dxf>
    <dxf>
      <font>
        <color rgb="FF9C0006"/>
      </font>
    </dxf>
    <dxf>
      <font>
        <color theme="9" tint="-0.24994659260841701"/>
      </font>
    </dxf>
  </dxfs>
  <tableStyles count="0" defaultTableStyle="TableStyleMedium2" defaultPivotStyle="PivotStyleLight16"/>
  <colors>
    <mruColors>
      <color rgb="FFEC732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chemeClr val="accent1"/>
            </a:solidFill>
            <a:ln>
              <a:noFill/>
            </a:ln>
            <a:effectLst/>
          </c:spPr>
          <c:invertIfNegative val="0"/>
          <c:dPt>
            <c:idx val="0"/>
            <c:invertIfNegative val="0"/>
            <c:bubble3D val="0"/>
            <c:spPr>
              <a:solidFill>
                <a:schemeClr val="accent1">
                  <a:lumMod val="50000"/>
                </a:schemeClr>
              </a:solidFill>
              <a:ln>
                <a:noFill/>
              </a:ln>
              <a:effectLst/>
            </c:spPr>
            <c:extLst>
              <c:ext xmlns:c16="http://schemas.microsoft.com/office/drawing/2014/chart" uri="{C3380CC4-5D6E-409C-BE32-E72D297353CC}">
                <c16:uniqueId val="{0000000B-C700-4DF7-88A1-299BC941508A}"/>
              </c:ext>
            </c:extLst>
          </c:dPt>
          <c:dPt>
            <c:idx val="1"/>
            <c:invertIfNegative val="0"/>
            <c:bubble3D val="0"/>
            <c:spPr>
              <a:solidFill>
                <a:srgbClr val="EC7320"/>
              </a:solidFill>
              <a:ln>
                <a:noFill/>
              </a:ln>
              <a:effectLst/>
            </c:spPr>
            <c:extLst>
              <c:ext xmlns:c16="http://schemas.microsoft.com/office/drawing/2014/chart" uri="{C3380CC4-5D6E-409C-BE32-E72D297353CC}">
                <c16:uniqueId val="{00000006-C700-4DF7-88A1-299BC941508A}"/>
              </c:ext>
            </c:extLst>
          </c:dPt>
          <c:val>
            <c:numRef>
              <c:f>Template!$D$18:$E$18</c:f>
              <c:numCache>
                <c:formatCode>0%</c:formatCode>
                <c:ptCount val="2"/>
                <c:pt idx="0">
                  <c:v>1</c:v>
                </c:pt>
                <c:pt idx="1">
                  <c:v>1</c:v>
                </c:pt>
              </c:numCache>
            </c:numRef>
          </c:val>
          <c:extLst>
            <c:ext xmlns:c16="http://schemas.microsoft.com/office/drawing/2014/chart" uri="{C3380CC4-5D6E-409C-BE32-E72D297353CC}">
              <c16:uniqueId val="{00000000-C700-4DF7-88A1-299BC941508A}"/>
            </c:ext>
          </c:extLst>
        </c:ser>
        <c:dLbls>
          <c:showLegendKey val="0"/>
          <c:showVal val="0"/>
          <c:showCatName val="0"/>
          <c:showSerName val="0"/>
          <c:showPercent val="0"/>
          <c:showBubbleSize val="0"/>
        </c:dLbls>
        <c:gapWidth val="219"/>
        <c:overlap val="-27"/>
        <c:axId val="1534158607"/>
        <c:axId val="1534155695"/>
      </c:barChart>
      <c:catAx>
        <c:axId val="1534158607"/>
        <c:scaling>
          <c:orientation val="minMax"/>
        </c:scaling>
        <c:delete val="1"/>
        <c:axPos val="b"/>
        <c:majorTickMark val="out"/>
        <c:minorTickMark val="none"/>
        <c:tickLblPos val="nextTo"/>
        <c:crossAx val="1534155695"/>
        <c:crosses val="autoZero"/>
        <c:auto val="1"/>
        <c:lblAlgn val="ctr"/>
        <c:lblOffset val="100"/>
        <c:noMultiLvlLbl val="0"/>
      </c:catAx>
      <c:valAx>
        <c:axId val="1534155695"/>
        <c:scaling>
          <c:orientation val="minMax"/>
          <c:max val="2"/>
          <c:min val="0"/>
        </c:scaling>
        <c:delete val="1"/>
        <c:axPos val="l"/>
        <c:numFmt formatCode="0.00%" sourceLinked="0"/>
        <c:majorTickMark val="out"/>
        <c:minorTickMark val="none"/>
        <c:tickLblPos val="nextTo"/>
        <c:crossAx val="1534158607"/>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236220</xdr:colOff>
          <xdr:row>13</xdr:row>
          <xdr:rowOff>129540</xdr:rowOff>
        </xdr:from>
        <xdr:to>
          <xdr:col>4</xdr:col>
          <xdr:colOff>579120</xdr:colOff>
          <xdr:row>15</xdr:row>
          <xdr:rowOff>114300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New Month</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800100</xdr:colOff>
          <xdr:row>48</xdr:row>
          <xdr:rowOff>137160</xdr:rowOff>
        </xdr:from>
        <xdr:to>
          <xdr:col>11</xdr:col>
          <xdr:colOff>144780</xdr:colOff>
          <xdr:row>50</xdr:row>
          <xdr:rowOff>76200</xdr:rowOff>
        </xdr:to>
        <xdr:sp macro="" textlink="">
          <xdr:nvSpPr>
            <xdr:cNvPr id="15361" name="Button 1" hidden="1">
              <a:extLst>
                <a:ext uri="{63B3BB69-23CF-44E3-9099-C40C66FF867C}">
                  <a14:compatExt spid="_x0000_s1536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48</xdr:row>
          <xdr:rowOff>137160</xdr:rowOff>
        </xdr:from>
        <xdr:to>
          <xdr:col>7</xdr:col>
          <xdr:colOff>845820</xdr:colOff>
          <xdr:row>50</xdr:row>
          <xdr:rowOff>99060</xdr:rowOff>
        </xdr:to>
        <xdr:sp macro="" textlink="">
          <xdr:nvSpPr>
            <xdr:cNvPr id="15362" name="Button 2" hidden="1">
              <a:extLst>
                <a:ext uri="{63B3BB69-23CF-44E3-9099-C40C66FF867C}">
                  <a14:compatExt spid="_x0000_s1536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Populate</a:t>
              </a:r>
            </a:p>
          </xdr:txBody>
        </xdr:sp>
        <xdr:clientData fPrintsWithSheet="0"/>
      </xdr:twoCellAnchor>
    </mc:Choice>
    <mc:Fallback/>
  </mc:AlternateContent>
  <xdr:twoCellAnchor>
    <xdr:from>
      <xdr:col>2</xdr:col>
      <xdr:colOff>883920</xdr:colOff>
      <xdr:row>1</xdr:row>
      <xdr:rowOff>563880</xdr:rowOff>
    </xdr:from>
    <xdr:to>
      <xdr:col>5</xdr:col>
      <xdr:colOff>213360</xdr:colOff>
      <xdr:row>18</xdr:row>
      <xdr:rowOff>232410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Q15"/>
  <sheetViews>
    <sheetView showGridLines="0" tabSelected="1" workbookViewId="0"/>
  </sheetViews>
  <sheetFormatPr defaultRowHeight="14.4" x14ac:dyDescent="0.3"/>
  <cols>
    <col min="2" max="2" width="18.6640625" customWidth="1"/>
    <col min="3" max="3" width="13.44140625" bestFit="1" customWidth="1"/>
    <col min="10" max="10" width="3.77734375" customWidth="1"/>
    <col min="11" max="11" width="17.44140625" bestFit="1" customWidth="1"/>
    <col min="16" max="16" width="3.77734375" customWidth="1"/>
  </cols>
  <sheetData>
    <row r="2" spans="2:17" ht="28.8" x14ac:dyDescent="0.55000000000000004">
      <c r="B2" s="43" t="s">
        <v>41</v>
      </c>
    </row>
    <row r="4" spans="2:17" ht="84.6" customHeight="1" x14ac:dyDescent="0.3">
      <c r="B4" s="47" t="s">
        <v>47</v>
      </c>
      <c r="C4" s="47"/>
      <c r="D4" s="47"/>
      <c r="E4" s="47"/>
      <c r="F4" s="47"/>
      <c r="G4" s="47"/>
    </row>
    <row r="5" spans="2:17" x14ac:dyDescent="0.3">
      <c r="B5" s="46" t="s">
        <v>46</v>
      </c>
      <c r="J5" s="27" t="s">
        <v>30</v>
      </c>
      <c r="P5" s="27" t="s">
        <v>34</v>
      </c>
    </row>
    <row r="6" spans="2:17" x14ac:dyDescent="0.3">
      <c r="J6" s="12">
        <v>1</v>
      </c>
      <c r="K6" t="s">
        <v>44</v>
      </c>
      <c r="P6" s="12">
        <v>1</v>
      </c>
      <c r="Q6" t="s">
        <v>35</v>
      </c>
    </row>
    <row r="7" spans="2:17" x14ac:dyDescent="0.3">
      <c r="B7" t="s">
        <v>42</v>
      </c>
      <c r="J7" s="12">
        <v>2</v>
      </c>
      <c r="K7" t="s">
        <v>31</v>
      </c>
      <c r="P7" s="12">
        <v>2</v>
      </c>
      <c r="Q7" t="s">
        <v>36</v>
      </c>
    </row>
    <row r="8" spans="2:17" x14ac:dyDescent="0.3">
      <c r="B8" s="44" t="s">
        <v>43</v>
      </c>
      <c r="J8" s="12">
        <v>3</v>
      </c>
      <c r="K8" t="s">
        <v>29</v>
      </c>
      <c r="P8" s="12">
        <v>3</v>
      </c>
      <c r="Q8" t="s">
        <v>38</v>
      </c>
    </row>
    <row r="9" spans="2:17" x14ac:dyDescent="0.3">
      <c r="J9" s="12">
        <v>4</v>
      </c>
      <c r="K9" t="s">
        <v>32</v>
      </c>
      <c r="P9" s="12">
        <v>4</v>
      </c>
      <c r="Q9" t="s">
        <v>37</v>
      </c>
    </row>
    <row r="10" spans="2:17" x14ac:dyDescent="0.3">
      <c r="J10" s="12">
        <v>5</v>
      </c>
      <c r="K10" t="s">
        <v>33</v>
      </c>
      <c r="P10" s="12">
        <v>5</v>
      </c>
      <c r="Q10" t="s">
        <v>39</v>
      </c>
    </row>
    <row r="11" spans="2:17" x14ac:dyDescent="0.3">
      <c r="J11" s="12">
        <v>6</v>
      </c>
      <c r="P11" s="12">
        <v>6</v>
      </c>
      <c r="Q11" t="s">
        <v>40</v>
      </c>
    </row>
    <row r="12" spans="2:17" x14ac:dyDescent="0.3">
      <c r="J12" s="12">
        <v>7</v>
      </c>
      <c r="P12" s="12">
        <v>7</v>
      </c>
    </row>
    <row r="13" spans="2:17" x14ac:dyDescent="0.3">
      <c r="D13" s="45" t="s">
        <v>45</v>
      </c>
      <c r="J13" s="12">
        <v>8</v>
      </c>
      <c r="P13" s="12">
        <v>8</v>
      </c>
    </row>
    <row r="14" spans="2:17" x14ac:dyDescent="0.3">
      <c r="J14" s="12">
        <v>9</v>
      </c>
      <c r="P14" s="12">
        <v>9</v>
      </c>
    </row>
    <row r="15" spans="2:17" x14ac:dyDescent="0.3">
      <c r="J15" s="12">
        <v>10</v>
      </c>
      <c r="P15" s="12">
        <v>10</v>
      </c>
    </row>
  </sheetData>
  <mergeCells count="1">
    <mergeCell ref="B4:G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NewMonth">
                <anchor moveWithCells="1" sizeWithCells="1">
                  <from>
                    <xdr:col>2</xdr:col>
                    <xdr:colOff>236220</xdr:colOff>
                    <xdr:row>13</xdr:row>
                    <xdr:rowOff>129540</xdr:rowOff>
                  </from>
                  <to>
                    <xdr:col>4</xdr:col>
                    <xdr:colOff>579120</xdr:colOff>
                    <xdr:row>15</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10"/>
  <sheetViews>
    <sheetView workbookViewId="0">
      <selection activeCell="G38" sqref="G38"/>
    </sheetView>
  </sheetViews>
  <sheetFormatPr defaultRowHeight="14.4" x14ac:dyDescent="0.3"/>
  <cols>
    <col min="3" max="3" width="12.5546875" bestFit="1" customWidth="1"/>
  </cols>
  <sheetData>
    <row r="1" spans="1:3" ht="20.100000000000001" customHeight="1" x14ac:dyDescent="0.3">
      <c r="A1" s="13" t="s">
        <v>2</v>
      </c>
      <c r="C1" s="13" t="s">
        <v>3</v>
      </c>
    </row>
    <row r="2" spans="1:3" x14ac:dyDescent="0.3">
      <c r="A2" t="s">
        <v>8</v>
      </c>
      <c r="C2" t="s">
        <v>17</v>
      </c>
    </row>
    <row r="3" spans="1:3" x14ac:dyDescent="0.3">
      <c r="A3" t="s">
        <v>9</v>
      </c>
      <c r="C3" t="s">
        <v>18</v>
      </c>
    </row>
    <row r="4" spans="1:3" x14ac:dyDescent="0.3">
      <c r="A4" t="s">
        <v>10</v>
      </c>
      <c r="C4" t="s">
        <v>19</v>
      </c>
    </row>
    <row r="5" spans="1:3" x14ac:dyDescent="0.3">
      <c r="A5" t="s">
        <v>11</v>
      </c>
      <c r="C5" t="s">
        <v>16</v>
      </c>
    </row>
    <row r="6" spans="1:3" x14ac:dyDescent="0.3">
      <c r="A6" t="s">
        <v>12</v>
      </c>
    </row>
    <row r="7" spans="1:3" x14ac:dyDescent="0.3">
      <c r="A7" t="s">
        <v>13</v>
      </c>
    </row>
    <row r="8" spans="1:3" x14ac:dyDescent="0.3">
      <c r="A8" t="s">
        <v>14</v>
      </c>
    </row>
    <row r="9" spans="1:3" x14ac:dyDescent="0.3">
      <c r="A9" t="s">
        <v>15</v>
      </c>
    </row>
    <row r="10" spans="1:3" x14ac:dyDescent="0.3">
      <c r="A10" t="s">
        <v>16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B2:O56"/>
  <sheetViews>
    <sheetView showGridLines="0" defaultGridColor="0" colorId="22" workbookViewId="0"/>
  </sheetViews>
  <sheetFormatPr defaultRowHeight="14.4" x14ac:dyDescent="0.3"/>
  <cols>
    <col min="2" max="3" width="15.77734375" customWidth="1"/>
    <col min="4" max="5" width="23.77734375" customWidth="1"/>
    <col min="6" max="6" width="17.88671875" bestFit="1" customWidth="1"/>
    <col min="7" max="10" width="15.6640625" customWidth="1"/>
    <col min="11" max="11" width="15.77734375" customWidth="1"/>
    <col min="12" max="13" width="15.6640625" customWidth="1"/>
    <col min="14" max="14" width="17.88671875" bestFit="1" customWidth="1"/>
    <col min="15" max="15" width="15.6640625" customWidth="1"/>
  </cols>
  <sheetData>
    <row r="2" spans="2:14" ht="45.6" x14ac:dyDescent="0.8">
      <c r="B2" s="1" t="s">
        <v>0</v>
      </c>
    </row>
    <row r="3" spans="2:14" ht="24" customHeight="1" x14ac:dyDescent="0.8">
      <c r="B3" s="1"/>
      <c r="L3" s="52" t="s">
        <v>1</v>
      </c>
      <c r="M3" s="52"/>
      <c r="N3" s="38">
        <v>20000</v>
      </c>
    </row>
    <row r="6" spans="2:14" x14ac:dyDescent="0.3">
      <c r="D6" s="40"/>
      <c r="E6" s="40"/>
    </row>
    <row r="7" spans="2:14" x14ac:dyDescent="0.3">
      <c r="D7" s="40"/>
      <c r="E7" s="40"/>
      <c r="J7" s="16"/>
      <c r="K7" s="16"/>
      <c r="L7" s="16"/>
      <c r="M7" s="16"/>
      <c r="N7" s="16"/>
    </row>
    <row r="8" spans="2:14" x14ac:dyDescent="0.3">
      <c r="D8" s="40"/>
      <c r="E8" s="40"/>
      <c r="J8" s="16"/>
      <c r="K8" s="16"/>
      <c r="L8" s="16"/>
      <c r="M8" s="16"/>
      <c r="N8" s="16"/>
    </row>
    <row r="9" spans="2:14" ht="14.4" customHeight="1" x14ac:dyDescent="0.3">
      <c r="D9" s="40"/>
      <c r="E9" s="40"/>
      <c r="J9" s="16"/>
      <c r="K9" s="51">
        <f>IFERROR((E21/D21)-1,"")</f>
        <v>0</v>
      </c>
      <c r="L9" s="51"/>
      <c r="M9" s="51"/>
      <c r="N9" s="16"/>
    </row>
    <row r="10" spans="2:14" ht="14.4" customHeight="1" x14ac:dyDescent="0.3">
      <c r="D10" s="40"/>
      <c r="E10" s="40"/>
      <c r="G10" s="29"/>
      <c r="H10" s="29"/>
      <c r="J10" s="16"/>
      <c r="K10" s="51"/>
      <c r="L10" s="51"/>
      <c r="M10" s="51"/>
      <c r="N10" s="16"/>
    </row>
    <row r="11" spans="2:14" ht="14.4" customHeight="1" x14ac:dyDescent="0.3">
      <c r="D11" s="40"/>
      <c r="E11" s="40"/>
      <c r="G11" s="29"/>
      <c r="H11" s="29"/>
      <c r="J11" s="16"/>
      <c r="K11" s="51"/>
      <c r="L11" s="51"/>
      <c r="M11" s="51"/>
      <c r="N11" s="16"/>
    </row>
    <row r="12" spans="2:14" ht="14.4" customHeight="1" x14ac:dyDescent="0.3">
      <c r="D12" s="40"/>
      <c r="E12" s="40"/>
      <c r="G12" s="29"/>
      <c r="H12" s="29"/>
      <c r="J12" s="16"/>
      <c r="K12" s="16"/>
      <c r="L12" s="30" t="s">
        <v>27</v>
      </c>
      <c r="M12" s="16"/>
      <c r="N12" s="16"/>
    </row>
    <row r="13" spans="2:14" x14ac:dyDescent="0.3">
      <c r="D13" s="40"/>
      <c r="E13" s="40"/>
      <c r="G13" s="29"/>
      <c r="H13" s="29"/>
      <c r="J13" s="16"/>
      <c r="K13" s="31"/>
      <c r="L13" s="31"/>
      <c r="M13" s="31"/>
      <c r="N13" s="16"/>
    </row>
    <row r="14" spans="2:14" x14ac:dyDescent="0.3">
      <c r="D14" s="40"/>
      <c r="E14" s="40"/>
      <c r="G14" s="29"/>
      <c r="H14" s="29"/>
      <c r="J14" s="16"/>
      <c r="K14" s="16"/>
      <c r="L14" s="16"/>
      <c r="M14" s="16"/>
      <c r="N14" s="16"/>
    </row>
    <row r="15" spans="2:14" ht="6.6" customHeight="1" x14ac:dyDescent="0.3">
      <c r="D15" s="40"/>
      <c r="E15" s="40"/>
      <c r="J15" s="16"/>
      <c r="K15" s="50">
        <f>IFERROR(E21-D21,"")</f>
        <v>0</v>
      </c>
      <c r="L15" s="50"/>
      <c r="M15" s="50"/>
      <c r="N15" s="16"/>
    </row>
    <row r="16" spans="2:14" ht="14.4" customHeight="1" x14ac:dyDescent="0.3">
      <c r="D16" s="40"/>
      <c r="E16" s="40"/>
      <c r="J16" s="16"/>
      <c r="K16" s="50"/>
      <c r="L16" s="50"/>
      <c r="M16" s="50"/>
      <c r="N16" s="16"/>
    </row>
    <row r="17" spans="2:15" ht="14.4" customHeight="1" x14ac:dyDescent="0.3">
      <c r="J17" s="16"/>
      <c r="K17" s="50"/>
      <c r="L17" s="50"/>
      <c r="M17" s="50"/>
      <c r="N17" s="16"/>
    </row>
    <row r="18" spans="2:15" ht="21.6" customHeight="1" x14ac:dyDescent="0.3">
      <c r="D18" s="42">
        <f>D21/E21</f>
        <v>1</v>
      </c>
      <c r="E18" s="42">
        <v>1</v>
      </c>
      <c r="J18" s="16"/>
      <c r="K18" s="16"/>
      <c r="L18" s="30" t="s">
        <v>28</v>
      </c>
      <c r="M18" s="16"/>
      <c r="N18" s="16"/>
    </row>
    <row r="19" spans="2:15" ht="19.8" customHeight="1" x14ac:dyDescent="0.3">
      <c r="D19" s="40"/>
      <c r="J19" s="16"/>
      <c r="K19" s="16"/>
      <c r="L19" s="16"/>
      <c r="M19" s="16"/>
      <c r="N19" s="16"/>
    </row>
    <row r="20" spans="2:15" ht="18" x14ac:dyDescent="0.35">
      <c r="D20" s="32" t="s">
        <v>25</v>
      </c>
      <c r="E20" s="28" t="s">
        <v>26</v>
      </c>
    </row>
    <row r="21" spans="2:15" x14ac:dyDescent="0.3">
      <c r="D21" s="33">
        <f>IF(ISBLANK(N3),0,N3)</f>
        <v>20000</v>
      </c>
      <c r="E21" s="34">
        <f>D21+(K26-C26)</f>
        <v>20000</v>
      </c>
    </row>
    <row r="23" spans="2:15" ht="14.4" customHeight="1" x14ac:dyDescent="0.45">
      <c r="D23" s="2"/>
      <c r="E23" s="2"/>
      <c r="F23" s="2"/>
      <c r="G23" s="2"/>
      <c r="H23" s="2"/>
      <c r="I23" s="2"/>
    </row>
    <row r="24" spans="2:15" ht="23.4" x14ac:dyDescent="0.45">
      <c r="B24" s="3" t="s">
        <v>2</v>
      </c>
      <c r="C24" s="2"/>
      <c r="F24" s="6"/>
      <c r="G24" s="6"/>
      <c r="H24" s="6"/>
      <c r="I24" s="6"/>
      <c r="J24" s="3" t="s">
        <v>3</v>
      </c>
      <c r="K24" s="2"/>
      <c r="L24" s="29"/>
      <c r="M24" s="29"/>
    </row>
    <row r="25" spans="2:15" x14ac:dyDescent="0.3">
      <c r="B25" s="26" t="s">
        <v>4</v>
      </c>
      <c r="C25" s="35">
        <f>E31</f>
        <v>0</v>
      </c>
      <c r="D25" s="41"/>
      <c r="E25" s="41"/>
      <c r="F25" s="6"/>
      <c r="G25" s="6"/>
      <c r="H25" s="6"/>
      <c r="I25" s="6"/>
      <c r="J25" s="26" t="s">
        <v>4</v>
      </c>
      <c r="K25" s="35">
        <f>M31</f>
        <v>0</v>
      </c>
      <c r="L25" s="29"/>
      <c r="M25" s="29"/>
    </row>
    <row r="26" spans="2:15" x14ac:dyDescent="0.3">
      <c r="B26" s="6" t="s">
        <v>5</v>
      </c>
      <c r="C26" s="36">
        <f>F31</f>
        <v>0</v>
      </c>
      <c r="J26" s="6" t="s">
        <v>5</v>
      </c>
      <c r="K26" s="36">
        <f>N31</f>
        <v>0</v>
      </c>
    </row>
    <row r="29" spans="2:15" ht="33" x14ac:dyDescent="0.6">
      <c r="B29" s="4" t="s">
        <v>2</v>
      </c>
      <c r="C29" s="5"/>
      <c r="D29" s="5"/>
      <c r="E29" s="5"/>
      <c r="F29" s="5"/>
      <c r="G29" s="5"/>
      <c r="J29" s="4" t="s">
        <v>3</v>
      </c>
      <c r="K29" s="5"/>
      <c r="L29" s="5"/>
      <c r="M29" s="5"/>
      <c r="N29" s="5"/>
      <c r="O29" s="5"/>
    </row>
    <row r="30" spans="2:15" ht="17.399999999999999" x14ac:dyDescent="0.3">
      <c r="B30" s="6"/>
      <c r="C30" s="6"/>
      <c r="D30" s="6"/>
      <c r="E30" s="10" t="s">
        <v>4</v>
      </c>
      <c r="F30" s="10" t="s">
        <v>5</v>
      </c>
      <c r="G30" s="10" t="s">
        <v>7</v>
      </c>
      <c r="H30" s="6"/>
      <c r="I30" s="6"/>
      <c r="J30" s="6"/>
      <c r="K30" s="6"/>
      <c r="L30" s="6"/>
      <c r="M30" s="10" t="s">
        <v>4</v>
      </c>
      <c r="N30" s="10" t="s">
        <v>5</v>
      </c>
      <c r="O30" s="10" t="s">
        <v>7</v>
      </c>
    </row>
    <row r="31" spans="2:15" ht="18" x14ac:dyDescent="0.35">
      <c r="B31" s="8" t="s">
        <v>6</v>
      </c>
      <c r="C31" s="7"/>
      <c r="D31" s="7"/>
      <c r="E31" s="37">
        <f t="shared" ref="E31:F31" si="0">SUM(E32:E40)</f>
        <v>0</v>
      </c>
      <c r="F31" s="37">
        <f t="shared" si="0"/>
        <v>0</v>
      </c>
      <c r="G31" s="37">
        <f>SUM(G32:G40)</f>
        <v>0</v>
      </c>
      <c r="H31" s="6"/>
      <c r="I31" s="6"/>
      <c r="J31" s="8" t="s">
        <v>6</v>
      </c>
      <c r="K31" s="7"/>
      <c r="L31" s="7"/>
      <c r="M31" s="37">
        <f t="shared" ref="M31:N31" si="1">SUM(M32:M35)</f>
        <v>0</v>
      </c>
      <c r="N31" s="37">
        <f t="shared" si="1"/>
        <v>0</v>
      </c>
      <c r="O31" s="37">
        <f>SUM(O32:O35)</f>
        <v>0</v>
      </c>
    </row>
    <row r="32" spans="2:15" ht="24.9" customHeight="1" x14ac:dyDescent="0.3">
      <c r="B32" s="53" t="s">
        <v>8</v>
      </c>
      <c r="C32" s="53"/>
      <c r="D32" s="17"/>
      <c r="E32" s="23"/>
      <c r="F32" s="24">
        <f>SUMIF(E56:E92,"Jedzenie",D56:D92)*(-1)</f>
        <v>0</v>
      </c>
      <c r="G32" s="39">
        <f>E32-F32</f>
        <v>0</v>
      </c>
      <c r="J32" s="53" t="s">
        <v>17</v>
      </c>
      <c r="K32" s="53"/>
      <c r="L32" s="21"/>
      <c r="M32" s="23"/>
      <c r="N32" s="24">
        <f>SUMIF(K56:K92,"Oszczędności",J56:J92)</f>
        <v>0</v>
      </c>
      <c r="O32" s="39">
        <f>N32-M32</f>
        <v>0</v>
      </c>
    </row>
    <row r="33" spans="2:15" ht="24.9" customHeight="1" x14ac:dyDescent="0.3">
      <c r="B33" s="54" t="s">
        <v>9</v>
      </c>
      <c r="C33" s="54"/>
      <c r="D33" s="18"/>
      <c r="E33" s="23"/>
      <c r="F33" s="24">
        <f>SUMIF(E56:E92,"Dom",D56:D92)*(-1)</f>
        <v>0</v>
      </c>
      <c r="G33" s="39">
        <f t="shared" ref="G33:G40" si="2">E33-F33</f>
        <v>0</v>
      </c>
      <c r="J33" s="49" t="s">
        <v>18</v>
      </c>
      <c r="K33" s="49"/>
      <c r="L33" s="20"/>
      <c r="M33" s="23"/>
      <c r="N33" s="24">
        <f>SUMIF(K56:K92,"Pensja",J56:J92)</f>
        <v>0</v>
      </c>
      <c r="O33" s="39">
        <f t="shared" ref="O33:O35" si="3">N33-M33</f>
        <v>0</v>
      </c>
    </row>
    <row r="34" spans="2:15" ht="24.9" customHeight="1" x14ac:dyDescent="0.3">
      <c r="B34" s="48" t="s">
        <v>10</v>
      </c>
      <c r="C34" s="48"/>
      <c r="D34" s="18"/>
      <c r="E34" s="23"/>
      <c r="F34" s="24">
        <f>SUMIF(E56:E92,"Transport",D56:D92)*(-1)</f>
        <v>0</v>
      </c>
      <c r="G34" s="39">
        <f t="shared" si="2"/>
        <v>0</v>
      </c>
      <c r="J34" s="49" t="s">
        <v>19</v>
      </c>
      <c r="K34" s="49"/>
      <c r="L34" s="20"/>
      <c r="M34" s="23"/>
      <c r="N34" s="24">
        <f>SUMIF(K56:K92,"Premia",J56:J92)</f>
        <v>0</v>
      </c>
      <c r="O34" s="39">
        <f t="shared" si="3"/>
        <v>0</v>
      </c>
    </row>
    <row r="35" spans="2:15" ht="24.9" customHeight="1" x14ac:dyDescent="0.3">
      <c r="B35" s="48" t="s">
        <v>11</v>
      </c>
      <c r="C35" s="48"/>
      <c r="D35" s="18"/>
      <c r="E35" s="23"/>
      <c r="F35" s="24">
        <f>SUMIF(E56:E92,"Osobiste",D56:D92)*(-1)</f>
        <v>0</v>
      </c>
      <c r="G35" s="39">
        <f t="shared" si="2"/>
        <v>0</v>
      </c>
      <c r="J35" s="55" t="s">
        <v>16</v>
      </c>
      <c r="K35" s="55"/>
      <c r="L35" s="22"/>
      <c r="M35" s="23"/>
      <c r="N35" s="24">
        <f>SUMIF(K56:K92,"Inne",J56:J92)</f>
        <v>0</v>
      </c>
      <c r="O35" s="39">
        <f t="shared" si="3"/>
        <v>0</v>
      </c>
    </row>
    <row r="36" spans="2:15" ht="24.9" customHeight="1" x14ac:dyDescent="0.3">
      <c r="B36" s="48" t="s">
        <v>12</v>
      </c>
      <c r="C36" s="48"/>
      <c r="D36" s="9"/>
      <c r="E36" s="25"/>
      <c r="F36" s="24">
        <f>SUMIF(E56:E92,"Media")*(-1)</f>
        <v>0</v>
      </c>
      <c r="G36" s="39">
        <f t="shared" si="2"/>
        <v>0</v>
      </c>
    </row>
    <row r="37" spans="2:15" ht="24.9" customHeight="1" x14ac:dyDescent="0.3">
      <c r="B37" s="49" t="s">
        <v>13</v>
      </c>
      <c r="C37" s="49"/>
      <c r="D37" s="18"/>
      <c r="E37" s="23"/>
      <c r="F37" s="24">
        <f>SUMIF(E56:E92,"Podróże",D56:D92)*(-1)</f>
        <v>0</v>
      </c>
      <c r="G37" s="39">
        <f t="shared" si="2"/>
        <v>0</v>
      </c>
    </row>
    <row r="38" spans="2:15" ht="24.9" customHeight="1" x14ac:dyDescent="0.3">
      <c r="B38" s="49" t="s">
        <v>14</v>
      </c>
      <c r="C38" s="49"/>
      <c r="D38" s="18"/>
      <c r="E38" s="23"/>
      <c r="F38" s="24">
        <f>SUMIF(E56:E92,"Studia",D56:D92)*(-1)</f>
        <v>0</v>
      </c>
      <c r="G38" s="39">
        <f t="shared" si="2"/>
        <v>0</v>
      </c>
    </row>
    <row r="39" spans="2:15" ht="24.9" customHeight="1" x14ac:dyDescent="0.3">
      <c r="B39" s="55" t="s">
        <v>15</v>
      </c>
      <c r="C39" s="55"/>
      <c r="D39" s="9"/>
      <c r="E39" s="25"/>
      <c r="F39" s="24">
        <f>SUMIF(E56:E92,"Hobby",D56:D92)*(-1)</f>
        <v>0</v>
      </c>
      <c r="G39" s="39">
        <f t="shared" si="2"/>
        <v>0</v>
      </c>
    </row>
    <row r="40" spans="2:15" ht="24.9" customHeight="1" x14ac:dyDescent="0.3">
      <c r="B40" s="48" t="s">
        <v>16</v>
      </c>
      <c r="C40" s="48"/>
      <c r="D40" s="19"/>
      <c r="E40" s="23"/>
      <c r="F40" s="24">
        <f>SUMIF(E56:E92,"Inne",D56:D92)*(-1)</f>
        <v>0</v>
      </c>
      <c r="G40" s="39">
        <f t="shared" si="2"/>
        <v>0</v>
      </c>
    </row>
    <row r="50" spans="2:11" ht="45.6" x14ac:dyDescent="0.8">
      <c r="B50" s="1" t="s">
        <v>20</v>
      </c>
    </row>
    <row r="54" spans="2:11" ht="33" x14ac:dyDescent="0.6">
      <c r="B54" s="4" t="s">
        <v>2</v>
      </c>
      <c r="C54" s="5"/>
      <c r="D54" s="5"/>
      <c r="E54" s="5"/>
      <c r="H54" s="4" t="s">
        <v>3</v>
      </c>
      <c r="I54" s="5"/>
      <c r="J54" s="5"/>
      <c r="K54" s="5"/>
    </row>
    <row r="55" spans="2:11" ht="24.9" customHeight="1" x14ac:dyDescent="0.3">
      <c r="B55" s="11" t="s">
        <v>21</v>
      </c>
      <c r="C55" s="11" t="s">
        <v>23</v>
      </c>
      <c r="D55" s="11" t="s">
        <v>22</v>
      </c>
      <c r="E55" s="11" t="s">
        <v>24</v>
      </c>
      <c r="F55" s="12"/>
      <c r="G55" s="12"/>
      <c r="H55" s="11" t="s">
        <v>21</v>
      </c>
      <c r="I55" s="11" t="s">
        <v>23</v>
      </c>
      <c r="J55" s="11" t="s">
        <v>22</v>
      </c>
      <c r="K55" s="11" t="s">
        <v>24</v>
      </c>
    </row>
    <row r="56" spans="2:11" x14ac:dyDescent="0.3">
      <c r="B56" s="14"/>
      <c r="C56" s="15"/>
      <c r="D56" s="15"/>
      <c r="H56" s="14"/>
      <c r="I56" s="15"/>
      <c r="J56" s="15"/>
    </row>
  </sheetData>
  <mergeCells count="16">
    <mergeCell ref="B40:C40"/>
    <mergeCell ref="B35:C35"/>
    <mergeCell ref="J35:K35"/>
    <mergeCell ref="B36:C36"/>
    <mergeCell ref="B37:C37"/>
    <mergeCell ref="B38:C38"/>
    <mergeCell ref="B39:C39"/>
    <mergeCell ref="B34:C34"/>
    <mergeCell ref="J34:K34"/>
    <mergeCell ref="K15:M17"/>
    <mergeCell ref="K9:M11"/>
    <mergeCell ref="L3:M3"/>
    <mergeCell ref="B32:C32"/>
    <mergeCell ref="J32:K32"/>
    <mergeCell ref="B33:C33"/>
    <mergeCell ref="J33:K33"/>
  </mergeCells>
  <conditionalFormatting sqref="G32:G40">
    <cfRule type="cellIs" dxfId="7" priority="7" operator="greaterThan">
      <formula>0</formula>
    </cfRule>
    <cfRule type="cellIs" dxfId="6" priority="8" operator="lessThan">
      <formula>0</formula>
    </cfRule>
  </conditionalFormatting>
  <conditionalFormatting sqref="G31">
    <cfRule type="cellIs" dxfId="5" priority="5" operator="lessThan">
      <formula>0</formula>
    </cfRule>
    <cfRule type="cellIs" dxfId="4" priority="6" operator="greaterThan">
      <formula>0</formula>
    </cfRule>
  </conditionalFormatting>
  <conditionalFormatting sqref="O32:O35">
    <cfRule type="cellIs" dxfId="3" priority="3" operator="greaterThan">
      <formula>0</formula>
    </cfRule>
    <cfRule type="cellIs" dxfId="2" priority="4" operator="lessThan">
      <formula>0</formula>
    </cfRule>
  </conditionalFormatting>
  <conditionalFormatting sqref="O31">
    <cfRule type="cellIs" dxfId="1" priority="1" operator="lessThan">
      <formula>0</formula>
    </cfRule>
    <cfRule type="cellIs" dxfId="0" priority="2" operator="greaterThan">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Import">
                <anchor moveWithCells="1" sizeWithCells="1">
                  <from>
                    <xdr:col>8</xdr:col>
                    <xdr:colOff>800100</xdr:colOff>
                    <xdr:row>48</xdr:row>
                    <xdr:rowOff>137160</xdr:rowOff>
                  </from>
                  <to>
                    <xdr:col>11</xdr:col>
                    <xdr:colOff>144780</xdr:colOff>
                    <xdr:row>50</xdr:row>
                    <xdr:rowOff>76200</xdr:rowOff>
                  </to>
                </anchor>
              </controlPr>
            </control>
          </mc:Choice>
        </mc:AlternateContent>
        <mc:AlternateContent xmlns:mc="http://schemas.openxmlformats.org/markup-compatibility/2006">
          <mc:Choice Requires="x14">
            <control shapeId="15362" r:id="rId5" name="Button 2">
              <controlPr defaultSize="0" print="0" autoFill="0" autoPict="0" macro="[0]!Populate">
                <anchor moveWithCells="1" sizeWithCells="1">
                  <from>
                    <xdr:col>5</xdr:col>
                    <xdr:colOff>381000</xdr:colOff>
                    <xdr:row>48</xdr:row>
                    <xdr:rowOff>137160</xdr:rowOff>
                  </from>
                  <to>
                    <xdr:col>7</xdr:col>
                    <xdr:colOff>845820</xdr:colOff>
                    <xdr:row>50</xdr:row>
                    <xdr:rowOff>99060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DropdownValues!$C$2:$C$5</xm:f>
          </x14:formula1>
          <xm:sqref>K56</xm:sqref>
        </x14:dataValidation>
        <x14:dataValidation type="list" allowBlank="1" showInputMessage="1" showErrorMessage="1">
          <x14:formula1>
            <xm:f>DropdownValues!$A$2:$A$10</xm:f>
          </x14:formula1>
          <xm:sqref>E56</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DropdownValues</vt:lpstr>
      <vt:lpstr>Template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2021-01-27T15:00:00Z</dcterms:modified>
</cp:coreProperties>
</file>